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iden-my.sharepoint.com/personal/merwin_dmello_eviden_com/Documents/Merwin/Projects/Enterprise/"/>
    </mc:Choice>
  </mc:AlternateContent>
  <xr:revisionPtr revIDLastSave="1321" documentId="8_{43FFC93B-B31A-4938-9A33-AED439AE6CB4}" xr6:coauthVersionLast="47" xr6:coauthVersionMax="47" xr10:uidLastSave="{2EFECE42-A3A9-4A40-AEA5-EA5B4794AD7F}"/>
  <bookViews>
    <workbookView xWindow="-110" yWindow="-110" windowWidth="19420" windowHeight="10300" xr2:uid="{E51EC1AE-439C-4933-B459-1FB15D1C3595}"/>
  </bookViews>
  <sheets>
    <sheet name="Estimates" sheetId="1" r:id="rId1"/>
    <sheet name="Timelines" sheetId="2" r:id="rId2"/>
    <sheet name="Resour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3" i="3"/>
  <c r="I3" i="3" s="1"/>
  <c r="H2" i="3"/>
  <c r="F4" i="2" l="1"/>
  <c r="E4" i="2"/>
  <c r="D2" i="3"/>
  <c r="D3" i="3"/>
  <c r="F3" i="3" s="1"/>
  <c r="D4" i="3"/>
  <c r="F4" i="3" s="1"/>
  <c r="F2" i="2"/>
  <c r="E3" i="2" s="1"/>
  <c r="F3" i="2" s="1"/>
  <c r="I4" i="3" l="1"/>
  <c r="F2" i="3"/>
  <c r="F5" i="3" s="1"/>
  <c r="J5" i="3" s="1"/>
  <c r="I2" i="3"/>
  <c r="I5" i="3" s="1"/>
  <c r="K5" i="3" s="1"/>
  <c r="D5" i="3"/>
  <c r="E27" i="1" l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4" i="1"/>
  <c r="E23" i="1"/>
  <c r="E22" i="1"/>
  <c r="E25" i="1" l="1"/>
  <c r="E21" i="1"/>
</calcChain>
</file>

<file path=xl/sharedStrings.xml><?xml version="1.0" encoding="utf-8"?>
<sst xmlns="http://schemas.openxmlformats.org/spreadsheetml/2006/main" count="128" uniqueCount="109">
  <si>
    <t>Miscellaneous DAGs Setup</t>
  </si>
  <si>
    <t>Integration</t>
  </si>
  <si>
    <t>Alerting &amp; Monitoring</t>
  </si>
  <si>
    <t>Create Secret Keys in Google Secret Manager</t>
  </si>
  <si>
    <t>Check Environment &amp; Github Setup</t>
  </si>
  <si>
    <t>DB Object Creation - Tables and Views for LOB</t>
  </si>
  <si>
    <t>Testing the connectivity to Source Database &amp; sFTP Server</t>
  </si>
  <si>
    <t>Count</t>
  </si>
  <si>
    <t>Total Estimate</t>
  </si>
  <si>
    <t>Area</t>
  </si>
  <si>
    <t>Ingestion</t>
  </si>
  <si>
    <t>General Configuration File for LOB</t>
  </si>
  <si>
    <t>Source Configuration File</t>
  </si>
  <si>
    <t>Ingestion DAG</t>
  </si>
  <si>
    <t>Dataflow Template for Ingestion</t>
  </si>
  <si>
    <t>Data Validation for Ingestion</t>
  </si>
  <si>
    <t>Pipeline Configuration File</t>
  </si>
  <si>
    <t>Deployment &amp; Other Activities</t>
  </si>
  <si>
    <t>Based on no of Environments</t>
  </si>
  <si>
    <t>Based on no of Connections</t>
  </si>
  <si>
    <t>Dashboard Setup &amp; Related Views</t>
  </si>
  <si>
    <t>Total Development Estimate</t>
  </si>
  <si>
    <t>QA</t>
  </si>
  <si>
    <t>Total QA Estimate</t>
  </si>
  <si>
    <t>Overall Estimates</t>
  </si>
  <si>
    <t>Github &amp; Secret Manager Setup</t>
  </si>
  <si>
    <t>Post Production Support / Hypercare</t>
  </si>
  <si>
    <t>Code Deployment</t>
  </si>
  <si>
    <t>Documentation</t>
  </si>
  <si>
    <t>Operation Guide</t>
  </si>
  <si>
    <t>Migration Plan</t>
  </si>
  <si>
    <t>Table Level Documentation</t>
  </si>
  <si>
    <t>Integration DAG</t>
  </si>
  <si>
    <t>Task Details</t>
  </si>
  <si>
    <t>Task</t>
  </si>
  <si>
    <t>Task Outcome</t>
  </si>
  <si>
    <t>Unit Estimate</t>
  </si>
  <si>
    <t>Estimate Comments</t>
  </si>
  <si>
    <t>• Check Services are executing
• Check necessary access has been provisioned to required GCP Services and Github
• Create necessary directories in Cloud Buckets
• Create Composer connections and variables</t>
  </si>
  <si>
    <t>Check list tracking each setup activity</t>
  </si>
  <si>
    <t>Secret Keys in Google Secret Manager</t>
  </si>
  <si>
    <t>• Create Terraform Components (Core &amp; Variables File) to define Google Secret Keys
• Create GSM Workflow File
• Coordinate with Github Admin to execute the Github Workflow on deployment Git branches</t>
  </si>
  <si>
    <t>Update Inventory Sheet to mark completion upon successful connectivity</t>
  </si>
  <si>
    <t>• Create Source Config File
• Test Connectivity using Connectivity DAG
• Coordinate with Network Engineer if required for troubleshooting</t>
  </si>
  <si>
    <t>YAML Script with necessary variables</t>
  </si>
  <si>
    <t>• Create DAG for Creating all Database Objects in each Dataset
• Create DAG for Creating specific Database Objects
• Create DAG for Copying Data
• Create DAG for Adhoc SQL execution</t>
  </si>
  <si>
    <t>• Configure Airflow Variable for Database Object Creation
• Execute DAG for creating Database Object Creation</t>
  </si>
  <si>
    <t>BigQuery Datasets are created. Necessary Authorizations are in place.</t>
  </si>
  <si>
    <t>Miscellaneous DAGs are created with successful execution.</t>
  </si>
  <si>
    <t>BigQuery Dataset Creation Request &amp; Authorization, Service Account Access to necessary Datasets</t>
  </si>
  <si>
    <t>• Complete Mirroring Form
• List authorization on source necessary datasetsfor other datasets
• List Datasets for which Service Account needs to be authorize
• Create Ticket for Mirroring Request</t>
  </si>
  <si>
    <t>Tables and Views for the LOB</t>
  </si>
  <si>
    <t>• Create Variables within YAML File for GCP Projects
• Create Variables within YAML File for BigQuery Datasets
• Create Variables within YAML File for Dataflow Settings
• Create Variables within YAML File for Other Environment Information</t>
  </si>
  <si>
    <t>• Configure Variable with Source SQLs, Target Table, Schedule, DAG Dependency</t>
  </si>
  <si>
    <t>• Create Dynamic DAG for Ingestion</t>
  </si>
  <si>
    <t>• Create Dataflow Template for Ingestion</t>
  </si>
  <si>
    <t>Variability Report for Ingestion Tables</t>
  </si>
  <si>
    <t>Variability Report for Core Tables</t>
  </si>
  <si>
    <t>• Configure Variable with List of SQL Scripts, Schedule, DAG Dependency</t>
  </si>
  <si>
    <t>• Create Dynamic DAG for Integration</t>
  </si>
  <si>
    <t>Alerting Messages in Webex</t>
  </si>
  <si>
    <t>• Create Terraform Scripts for Alerting &amp; Monitoring
• Execute DAG for creating Database Object Creation</t>
  </si>
  <si>
    <t>Based on no of Staging Tables</t>
  </si>
  <si>
    <t>Based on no of Core Tables</t>
  </si>
  <si>
    <t>• Create Pull Request for Code Deployment
• Make sure necessary configurations are in place
• Troubleshoot issues if they occur to ensure deployment is successful</t>
  </si>
  <si>
    <t>• Create \ Update views for monitoring and auditing in all three environments
• Request for necessary authorizations for relevant datasets
• Update Looker Code to ensure monitoring, costing and auditing data is available on the dashboards</t>
  </si>
  <si>
    <t>DAGs running successfully in deployed environment</t>
  </si>
  <si>
    <t>Data available on the Looker Dashboards</t>
  </si>
  <si>
    <t>• Document all DAGs created for the migration: Dag Purpose, Schedule, Target Tables, Prerequisites, Dependencies and Troubleshooting</t>
  </si>
  <si>
    <t>• List out all activities required for Code Deployment and Post Production Activities</t>
  </si>
  <si>
    <t>Variance Analysis</t>
  </si>
  <si>
    <t>• Analyze discrepancies between the Source and Target Table</t>
  </si>
  <si>
    <t>• Document data validation for each table and point out discrepancies</t>
  </si>
  <si>
    <t>Variability Report</t>
  </si>
  <si>
    <t>Variability Report Execution &amp; Review</t>
  </si>
  <si>
    <t>• Generate Variability Report for QA &amp; Production Environments after deployment</t>
  </si>
  <si>
    <t>Queries pointing variance or no variance</t>
  </si>
  <si>
    <t>• Execute Validation Scripts to compare counts between BigQuery &amp; Teradata Tables
• Troubleshoot Data Discrepancies between Teradata &amp; BigQuery</t>
  </si>
  <si>
    <t>• Execute Validation Scripts to compare counts between BigQuery &amp; Teradata Tables / Mirrored Views and verify data differences with mirrored views
• Troubleshoot Data Discrepancies between Teradata &amp; BigQuery
• Document Cause of Variance between Teradata &amp; BigQuery with example data</t>
  </si>
  <si>
    <t>Month Indicator</t>
  </si>
  <si>
    <t>Sprint</t>
  </si>
  <si>
    <t>Activity to be completed</t>
  </si>
  <si>
    <t>Responsibility</t>
  </si>
  <si>
    <t>Tentative Start Date</t>
  </si>
  <si>
    <t>Tentative End Date</t>
  </si>
  <si>
    <t>Month 1</t>
  </si>
  <si>
    <t>Sprint 1</t>
  </si>
  <si>
    <t>Eviden</t>
  </si>
  <si>
    <t>Sprint 2</t>
  </si>
  <si>
    <t>Month 2</t>
  </si>
  <si>
    <t>BigQuery Table Setup &amp; Ingestion</t>
  </si>
  <si>
    <t>All</t>
  </si>
  <si>
    <t>QA Tester</t>
  </si>
  <si>
    <t>Developers - Mid Level</t>
  </si>
  <si>
    <t>Developers - Senior</t>
  </si>
  <si>
    <t>Margin</t>
  </si>
  <si>
    <t>Overal CTC (USD)</t>
  </si>
  <si>
    <t>CTC (USD)</t>
  </si>
  <si>
    <t>Cost to Company</t>
  </si>
  <si>
    <t>Billing Rate</t>
  </si>
  <si>
    <t>Total Hours</t>
  </si>
  <si>
    <t># of Weeks</t>
  </si>
  <si>
    <t>Resources</t>
  </si>
  <si>
    <t>Role</t>
  </si>
  <si>
    <t>Dollar Rate</t>
  </si>
  <si>
    <t>Margin with Set Price</t>
  </si>
  <si>
    <t>Price</t>
  </si>
  <si>
    <t>Deployment + Hypercare</t>
  </si>
  <si>
    <t>Sprint 3 (Half Sprint) with 1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</si>
</sst>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vertical="center"/>
    </xf>
    <xf numFmtId="0" fontId="0" fillId="0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Font="1" applyBorder="1" applyAlignment="1">
      <alignment vertical="center" wrapText="1"/>
    </xf>
    <xf numFmtId="9" fontId="0" fillId="0" borderId="0" xfId="1" applyFont="1"/>
    <xf numFmtId="0" fontId="3" fillId="3" borderId="1" xfId="0" applyFont="1" applyFill="1" applyBorder="1" applyAlignment="1">
      <alignment horizontal="center"/>
    </xf>
    <xf numFmtId="164" fontId="0" fillId="0" borderId="1" xfId="0" applyNumberFormat="1" applyBorder="1"/>
    <xf numFmtId="9" fontId="0" fillId="0" borderId="1" xfId="1" applyFont="1" applyBorder="1"/>
    <xf numFmtId="0" fontId="4" fillId="3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CD94-660A-45A0-B6AC-96E1450E8D77}">
  <dimension ref="A1:H3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.54296875" customWidth="1"/>
    <col min="2" max="2" width="38.36328125" bestFit="1" customWidth="1"/>
    <col min="3" max="3" width="5.90625" bestFit="1" customWidth="1"/>
    <col min="4" max="4" width="12.1796875" bestFit="1" customWidth="1"/>
    <col min="5" max="5" width="13" bestFit="1" customWidth="1"/>
    <col min="6" max="6" width="56.6328125" customWidth="1"/>
    <col min="7" max="7" width="21" customWidth="1"/>
    <col min="8" max="8" width="17.90625" bestFit="1" customWidth="1"/>
  </cols>
  <sheetData>
    <row r="1" spans="1:8" x14ac:dyDescent="0.35">
      <c r="A1" s="7" t="s">
        <v>9</v>
      </c>
      <c r="B1" s="7" t="s">
        <v>34</v>
      </c>
      <c r="C1" s="7" t="s">
        <v>7</v>
      </c>
      <c r="D1" s="7" t="s">
        <v>36</v>
      </c>
      <c r="E1" s="7" t="s">
        <v>8</v>
      </c>
      <c r="F1" s="7" t="s">
        <v>33</v>
      </c>
      <c r="G1" s="7" t="s">
        <v>35</v>
      </c>
      <c r="H1" s="7" t="s">
        <v>37</v>
      </c>
    </row>
    <row r="2" spans="1:8" ht="72.5" x14ac:dyDescent="0.35">
      <c r="A2" s="17" t="s">
        <v>25</v>
      </c>
      <c r="B2" s="5" t="s">
        <v>4</v>
      </c>
      <c r="C2" s="1">
        <v>1</v>
      </c>
      <c r="D2" s="1">
        <v>20</v>
      </c>
      <c r="E2" s="1">
        <f t="shared" ref="E2:E20" si="0">C2*D2</f>
        <v>20</v>
      </c>
      <c r="F2" s="5" t="s">
        <v>38</v>
      </c>
      <c r="G2" s="8" t="s">
        <v>39</v>
      </c>
      <c r="H2" s="1"/>
    </row>
    <row r="3" spans="1:8" ht="72.5" x14ac:dyDescent="0.35">
      <c r="A3" s="17"/>
      <c r="B3" s="5" t="s">
        <v>3</v>
      </c>
      <c r="C3" s="1">
        <v>3</v>
      </c>
      <c r="D3" s="1">
        <v>5</v>
      </c>
      <c r="E3" s="1">
        <f t="shared" si="0"/>
        <v>15</v>
      </c>
      <c r="F3" s="5" t="s">
        <v>41</v>
      </c>
      <c r="G3" s="8" t="s">
        <v>40</v>
      </c>
      <c r="H3" s="5" t="s">
        <v>18</v>
      </c>
    </row>
    <row r="4" spans="1:8" ht="58" x14ac:dyDescent="0.35">
      <c r="A4" s="17"/>
      <c r="B4" s="5" t="s">
        <v>6</v>
      </c>
      <c r="C4" s="1">
        <v>2</v>
      </c>
      <c r="D4" s="1">
        <v>5</v>
      </c>
      <c r="E4" s="1">
        <f t="shared" si="0"/>
        <v>10</v>
      </c>
      <c r="F4" s="5" t="s">
        <v>43</v>
      </c>
      <c r="G4" s="8" t="s">
        <v>42</v>
      </c>
      <c r="H4" s="5" t="s">
        <v>19</v>
      </c>
    </row>
    <row r="5" spans="1:8" ht="72.5" x14ac:dyDescent="0.35">
      <c r="A5" s="17"/>
      <c r="B5" s="5" t="s">
        <v>49</v>
      </c>
      <c r="C5" s="1">
        <v>1</v>
      </c>
      <c r="D5" s="1">
        <v>5</v>
      </c>
      <c r="E5" s="1">
        <f t="shared" si="0"/>
        <v>5</v>
      </c>
      <c r="F5" s="5" t="s">
        <v>50</v>
      </c>
      <c r="G5" s="8" t="s">
        <v>47</v>
      </c>
      <c r="H5" s="1"/>
    </row>
    <row r="6" spans="1:8" ht="72.5" x14ac:dyDescent="0.35">
      <c r="A6" s="17"/>
      <c r="B6" s="5" t="s">
        <v>11</v>
      </c>
      <c r="C6" s="1">
        <v>3</v>
      </c>
      <c r="D6" s="1">
        <v>5</v>
      </c>
      <c r="E6" s="1">
        <f t="shared" si="0"/>
        <v>15</v>
      </c>
      <c r="F6" s="5" t="s">
        <v>52</v>
      </c>
      <c r="G6" s="8" t="s">
        <v>44</v>
      </c>
      <c r="H6" s="5" t="s">
        <v>18</v>
      </c>
    </row>
    <row r="7" spans="1:8" ht="58" x14ac:dyDescent="0.35">
      <c r="A7" s="17"/>
      <c r="B7" s="5" t="s">
        <v>0</v>
      </c>
      <c r="C7" s="1">
        <v>1</v>
      </c>
      <c r="D7" s="1">
        <v>20</v>
      </c>
      <c r="E7" s="1">
        <f t="shared" si="0"/>
        <v>20</v>
      </c>
      <c r="F7" s="5" t="s">
        <v>45</v>
      </c>
      <c r="G7" s="8" t="s">
        <v>48</v>
      </c>
      <c r="H7" s="1"/>
    </row>
    <row r="8" spans="1:8" ht="29" x14ac:dyDescent="0.35">
      <c r="A8" s="17"/>
      <c r="B8" s="5" t="s">
        <v>5</v>
      </c>
      <c r="C8" s="1">
        <v>1</v>
      </c>
      <c r="D8" s="1">
        <v>40</v>
      </c>
      <c r="E8" s="1">
        <f t="shared" si="0"/>
        <v>40</v>
      </c>
      <c r="F8" s="5" t="s">
        <v>46</v>
      </c>
      <c r="G8" s="8" t="s">
        <v>51</v>
      </c>
      <c r="H8" s="1"/>
    </row>
    <row r="9" spans="1:8" ht="29" x14ac:dyDescent="0.35">
      <c r="A9" s="17" t="s">
        <v>10</v>
      </c>
      <c r="B9" s="5" t="s">
        <v>12</v>
      </c>
      <c r="C9" s="1">
        <v>31</v>
      </c>
      <c r="D9" s="1">
        <v>2</v>
      </c>
      <c r="E9" s="1">
        <f t="shared" si="0"/>
        <v>62</v>
      </c>
      <c r="F9" s="5" t="s">
        <v>53</v>
      </c>
      <c r="G9" s="5" t="s">
        <v>12</v>
      </c>
      <c r="H9" s="5" t="s">
        <v>62</v>
      </c>
    </row>
    <row r="10" spans="1:8" x14ac:dyDescent="0.35">
      <c r="A10" s="17"/>
      <c r="B10" s="5" t="s">
        <v>13</v>
      </c>
      <c r="C10" s="1">
        <v>1</v>
      </c>
      <c r="D10" s="1">
        <v>10</v>
      </c>
      <c r="E10" s="1">
        <f t="shared" si="0"/>
        <v>10</v>
      </c>
      <c r="F10" s="5" t="s">
        <v>54</v>
      </c>
      <c r="G10" s="5" t="s">
        <v>13</v>
      </c>
      <c r="H10" s="1"/>
    </row>
    <row r="11" spans="1:8" ht="29" x14ac:dyDescent="0.35">
      <c r="A11" s="17"/>
      <c r="B11" s="5" t="s">
        <v>14</v>
      </c>
      <c r="C11" s="1">
        <v>1</v>
      </c>
      <c r="D11" s="1">
        <v>80</v>
      </c>
      <c r="E11" s="1">
        <f t="shared" si="0"/>
        <v>80</v>
      </c>
      <c r="F11" s="5" t="s">
        <v>55</v>
      </c>
      <c r="G11" s="5" t="s">
        <v>14</v>
      </c>
      <c r="H11" s="1"/>
    </row>
    <row r="12" spans="1:8" ht="43.5" x14ac:dyDescent="0.35">
      <c r="A12" s="17"/>
      <c r="B12" s="5" t="s">
        <v>15</v>
      </c>
      <c r="C12" s="1">
        <v>31</v>
      </c>
      <c r="D12" s="1">
        <v>2</v>
      </c>
      <c r="E12" s="1">
        <f t="shared" si="0"/>
        <v>62</v>
      </c>
      <c r="F12" s="5" t="s">
        <v>77</v>
      </c>
      <c r="G12" s="8" t="s">
        <v>56</v>
      </c>
      <c r="H12" s="5" t="s">
        <v>62</v>
      </c>
    </row>
    <row r="13" spans="1:8" ht="29" x14ac:dyDescent="0.35">
      <c r="A13" s="17" t="s">
        <v>1</v>
      </c>
      <c r="B13" s="5" t="s">
        <v>16</v>
      </c>
      <c r="C13" s="1">
        <v>31</v>
      </c>
      <c r="D13" s="1">
        <v>1</v>
      </c>
      <c r="E13" s="1">
        <f t="shared" si="0"/>
        <v>31</v>
      </c>
      <c r="F13" s="5" t="s">
        <v>58</v>
      </c>
      <c r="G13" s="5" t="s">
        <v>16</v>
      </c>
      <c r="H13" s="5" t="s">
        <v>63</v>
      </c>
    </row>
    <row r="14" spans="1:8" x14ac:dyDescent="0.35">
      <c r="A14" s="17"/>
      <c r="B14" s="5" t="s">
        <v>32</v>
      </c>
      <c r="C14" s="1">
        <v>1</v>
      </c>
      <c r="D14" s="1">
        <v>10</v>
      </c>
      <c r="E14" s="1">
        <f t="shared" si="0"/>
        <v>10</v>
      </c>
      <c r="F14" s="5" t="s">
        <v>59</v>
      </c>
      <c r="G14" s="5" t="s">
        <v>32</v>
      </c>
      <c r="H14" s="1"/>
    </row>
    <row r="15" spans="1:8" ht="87" x14ac:dyDescent="0.35">
      <c r="A15" s="17"/>
      <c r="B15" s="5" t="s">
        <v>15</v>
      </c>
      <c r="C15" s="1">
        <v>31</v>
      </c>
      <c r="D15" s="1">
        <v>3</v>
      </c>
      <c r="E15" s="1">
        <f t="shared" si="0"/>
        <v>93</v>
      </c>
      <c r="F15" s="5" t="s">
        <v>78</v>
      </c>
      <c r="G15" s="8" t="s">
        <v>57</v>
      </c>
      <c r="H15" s="5" t="s">
        <v>63</v>
      </c>
    </row>
    <row r="16" spans="1:8" ht="29" x14ac:dyDescent="0.35">
      <c r="A16" s="17" t="s">
        <v>17</v>
      </c>
      <c r="B16" s="5" t="s">
        <v>2</v>
      </c>
      <c r="C16" s="1">
        <v>1</v>
      </c>
      <c r="D16" s="1">
        <v>40</v>
      </c>
      <c r="E16" s="1">
        <f t="shared" si="0"/>
        <v>40</v>
      </c>
      <c r="F16" s="5" t="s">
        <v>61</v>
      </c>
      <c r="G16" s="8" t="s">
        <v>60</v>
      </c>
      <c r="H16" s="1"/>
    </row>
    <row r="17" spans="1:8" ht="58" x14ac:dyDescent="0.35">
      <c r="A17" s="17"/>
      <c r="B17" s="5" t="s">
        <v>27</v>
      </c>
      <c r="C17" s="1">
        <v>2</v>
      </c>
      <c r="D17" s="1">
        <v>20</v>
      </c>
      <c r="E17" s="1">
        <f t="shared" si="0"/>
        <v>40</v>
      </c>
      <c r="F17" s="5" t="s">
        <v>64</v>
      </c>
      <c r="G17" s="8" t="s">
        <v>66</v>
      </c>
      <c r="H17" s="5" t="s">
        <v>18</v>
      </c>
    </row>
    <row r="18" spans="1:8" ht="72.5" x14ac:dyDescent="0.35">
      <c r="A18" s="17"/>
      <c r="B18" s="5" t="s">
        <v>20</v>
      </c>
      <c r="C18" s="1">
        <v>1</v>
      </c>
      <c r="D18" s="1">
        <v>10</v>
      </c>
      <c r="E18" s="1">
        <f t="shared" si="0"/>
        <v>10</v>
      </c>
      <c r="F18" s="5" t="s">
        <v>65</v>
      </c>
      <c r="G18" s="8" t="s">
        <v>67</v>
      </c>
      <c r="H18" s="1"/>
    </row>
    <row r="19" spans="1:8" ht="43.5" x14ac:dyDescent="0.35">
      <c r="A19" s="17" t="s">
        <v>28</v>
      </c>
      <c r="B19" s="5" t="s">
        <v>29</v>
      </c>
      <c r="C19" s="1">
        <v>1</v>
      </c>
      <c r="D19" s="1">
        <v>20</v>
      </c>
      <c r="E19" s="1">
        <f t="shared" si="0"/>
        <v>20</v>
      </c>
      <c r="F19" s="5" t="s">
        <v>68</v>
      </c>
      <c r="G19" s="5" t="s">
        <v>29</v>
      </c>
      <c r="H19" s="1"/>
    </row>
    <row r="20" spans="1:8" ht="29" x14ac:dyDescent="0.35">
      <c r="A20" s="17"/>
      <c r="B20" s="5" t="s">
        <v>30</v>
      </c>
      <c r="C20" s="1">
        <v>2</v>
      </c>
      <c r="D20" s="1">
        <v>20</v>
      </c>
      <c r="E20" s="1">
        <f t="shared" si="0"/>
        <v>40</v>
      </c>
      <c r="F20" s="5" t="s">
        <v>69</v>
      </c>
      <c r="G20" s="5" t="s">
        <v>30</v>
      </c>
      <c r="H20" s="1"/>
    </row>
    <row r="21" spans="1:8" x14ac:dyDescent="0.35">
      <c r="A21" s="19" t="s">
        <v>21</v>
      </c>
      <c r="B21" s="19"/>
      <c r="C21" s="19"/>
      <c r="D21" s="19"/>
      <c r="E21" s="6">
        <f>SUM(E2:E20)</f>
        <v>623</v>
      </c>
      <c r="F21" s="1"/>
      <c r="G21" s="9"/>
      <c r="H21" s="1"/>
    </row>
    <row r="22" spans="1:8" ht="29" x14ac:dyDescent="0.35">
      <c r="A22" s="18" t="s">
        <v>22</v>
      </c>
      <c r="B22" s="2" t="s">
        <v>70</v>
      </c>
      <c r="C22" s="2">
        <v>31</v>
      </c>
      <c r="D22" s="2">
        <v>2</v>
      </c>
      <c r="E22" s="1">
        <f>C22*D22</f>
        <v>62</v>
      </c>
      <c r="F22" s="5" t="s">
        <v>71</v>
      </c>
      <c r="G22" s="8" t="s">
        <v>76</v>
      </c>
      <c r="H22" s="5" t="s">
        <v>63</v>
      </c>
    </row>
    <row r="23" spans="1:8" ht="29" x14ac:dyDescent="0.35">
      <c r="A23" s="18"/>
      <c r="B23" s="2" t="s">
        <v>31</v>
      </c>
      <c r="C23" s="3">
        <v>31</v>
      </c>
      <c r="D23" s="3">
        <v>2</v>
      </c>
      <c r="E23" s="1">
        <f>C23*D23</f>
        <v>62</v>
      </c>
      <c r="F23" s="5" t="s">
        <v>72</v>
      </c>
      <c r="G23" s="10" t="s">
        <v>31</v>
      </c>
      <c r="H23" s="5" t="s">
        <v>63</v>
      </c>
    </row>
    <row r="24" spans="1:8" ht="29" x14ac:dyDescent="0.35">
      <c r="A24" s="18"/>
      <c r="B24" s="2" t="s">
        <v>74</v>
      </c>
      <c r="C24" s="3">
        <v>1</v>
      </c>
      <c r="D24" s="3">
        <v>10</v>
      </c>
      <c r="E24" s="1">
        <f>C24*D24</f>
        <v>10</v>
      </c>
      <c r="F24" s="5" t="s">
        <v>75</v>
      </c>
      <c r="G24" s="9" t="s">
        <v>73</v>
      </c>
      <c r="H24" s="1"/>
    </row>
    <row r="25" spans="1:8" x14ac:dyDescent="0.35">
      <c r="A25" s="19" t="s">
        <v>23</v>
      </c>
      <c r="B25" s="19"/>
      <c r="C25" s="19"/>
      <c r="D25" s="19"/>
      <c r="E25" s="6">
        <f>SUM(E22:E24)</f>
        <v>134</v>
      </c>
      <c r="F25" s="1"/>
      <c r="G25" s="9"/>
      <c r="H25" s="1"/>
    </row>
    <row r="26" spans="1:8" x14ac:dyDescent="0.35">
      <c r="A26" s="19" t="s">
        <v>26</v>
      </c>
      <c r="B26" s="19"/>
      <c r="C26" s="19"/>
      <c r="D26" s="19"/>
      <c r="E26" s="6">
        <v>40</v>
      </c>
      <c r="F26" s="1"/>
      <c r="G26" s="9"/>
      <c r="H26" s="1"/>
    </row>
    <row r="27" spans="1:8" x14ac:dyDescent="0.35">
      <c r="A27" s="20" t="s">
        <v>24</v>
      </c>
      <c r="B27" s="20"/>
      <c r="C27" s="20"/>
      <c r="D27" s="20"/>
      <c r="E27" s="4">
        <f>E21+E25+E26</f>
        <v>797</v>
      </c>
      <c r="G27" s="9"/>
      <c r="H27" s="1"/>
    </row>
    <row r="34" spans="5:5" x14ac:dyDescent="0.35">
      <c r="E34" s="11"/>
    </row>
  </sheetData>
  <mergeCells count="11">
    <mergeCell ref="A22:A24"/>
    <mergeCell ref="A25:D25"/>
    <mergeCell ref="A27:D27"/>
    <mergeCell ref="A16:A18"/>
    <mergeCell ref="A26:D26"/>
    <mergeCell ref="A21:D21"/>
    <mergeCell ref="A2:A4"/>
    <mergeCell ref="A5:A8"/>
    <mergeCell ref="A9:A12"/>
    <mergeCell ref="A13:A15"/>
    <mergeCell ref="A19:A20"/>
  </mergeCells>
  <pageMargins left="0.7" right="0.7" top="0.75" bottom="0.75" header="0.3" footer="0.3"/>
  <ignoredErrors>
    <ignoredError sqref="E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DAA8-AF4C-4073-B434-5C8BEC1C8A4B}">
  <dimension ref="A1:F4"/>
  <sheetViews>
    <sheetView workbookViewId="0"/>
  </sheetViews>
  <sheetFormatPr defaultRowHeight="14.5" x14ac:dyDescent="0.35"/>
  <cols>
    <col min="1" max="1" width="14.6328125" bestFit="1" customWidth="1"/>
    <col min="2" max="2" width="17.90625" customWidth="1"/>
    <col min="3" max="3" width="28.81640625" bestFit="1" customWidth="1"/>
    <col min="4" max="4" width="13.81640625" customWidth="1"/>
    <col min="5" max="5" width="17.90625" bestFit="1" customWidth="1"/>
    <col min="6" max="6" width="17" bestFit="1" customWidth="1"/>
  </cols>
  <sheetData>
    <row r="1" spans="1:6" x14ac:dyDescent="0.35">
      <c r="A1" s="12" t="s">
        <v>79</v>
      </c>
      <c r="B1" s="12" t="s">
        <v>80</v>
      </c>
      <c r="C1" s="12" t="s">
        <v>81</v>
      </c>
      <c r="D1" s="12" t="s">
        <v>82</v>
      </c>
      <c r="E1" s="12" t="s">
        <v>83</v>
      </c>
      <c r="F1" s="12" t="s">
        <v>84</v>
      </c>
    </row>
    <row r="2" spans="1:6" x14ac:dyDescent="0.35">
      <c r="A2" s="1" t="s">
        <v>85</v>
      </c>
      <c r="B2" s="1" t="s">
        <v>86</v>
      </c>
      <c r="C2" s="5" t="s">
        <v>90</v>
      </c>
      <c r="D2" s="5" t="s">
        <v>87</v>
      </c>
      <c r="E2" s="13">
        <v>45635</v>
      </c>
      <c r="F2" s="13">
        <f>E2+11</f>
        <v>45646</v>
      </c>
    </row>
    <row r="3" spans="1:6" x14ac:dyDescent="0.35">
      <c r="A3" s="1" t="s">
        <v>85</v>
      </c>
      <c r="B3" s="1" t="s">
        <v>88</v>
      </c>
      <c r="C3" s="1" t="s">
        <v>1</v>
      </c>
      <c r="D3" s="5" t="s">
        <v>87</v>
      </c>
      <c r="E3" s="13">
        <f t="shared" ref="E3" si="0">F2+3</f>
        <v>45649</v>
      </c>
      <c r="F3" s="13">
        <f t="shared" ref="F3" si="1">E3+11</f>
        <v>45660</v>
      </c>
    </row>
    <row r="4" spans="1:6" ht="29" x14ac:dyDescent="0.35">
      <c r="A4" s="1" t="s">
        <v>89</v>
      </c>
      <c r="B4" s="5" t="s">
        <v>108</v>
      </c>
      <c r="C4" s="1" t="s">
        <v>107</v>
      </c>
      <c r="D4" s="5" t="s">
        <v>87</v>
      </c>
      <c r="E4" s="13">
        <f t="shared" ref="E4" si="2">F3+3</f>
        <v>45663</v>
      </c>
      <c r="F4" s="13">
        <f>E4+4</f>
        <v>45667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FDCE-C861-41DB-919B-3885993A97C7}">
  <dimension ref="A1:M5"/>
  <sheetViews>
    <sheetView workbookViewId="0"/>
  </sheetViews>
  <sheetFormatPr defaultRowHeight="14.5" x14ac:dyDescent="0.35"/>
  <cols>
    <col min="1" max="1" width="19.81640625" bestFit="1" customWidth="1"/>
    <col min="2" max="2" width="9.26953125" bestFit="1" customWidth="1"/>
    <col min="3" max="3" width="10.08984375" bestFit="1" customWidth="1"/>
    <col min="4" max="4" width="10.54296875" bestFit="1" customWidth="1"/>
    <col min="5" max="5" width="10" bestFit="1" customWidth="1"/>
    <col min="6" max="6" width="7.81640625" bestFit="1" customWidth="1"/>
    <col min="7" max="7" width="15.26953125" bestFit="1" customWidth="1"/>
    <col min="8" max="8" width="9.1796875" bestFit="1" customWidth="1"/>
    <col min="9" max="9" width="15.1796875" bestFit="1" customWidth="1"/>
    <col min="10" max="10" width="6.7265625" bestFit="1" customWidth="1"/>
    <col min="11" max="11" width="18.7265625" bestFit="1" customWidth="1"/>
    <col min="13" max="13" width="10.08984375" bestFit="1" customWidth="1"/>
  </cols>
  <sheetData>
    <row r="1" spans="1:13" x14ac:dyDescent="0.35">
      <c r="A1" s="16" t="s">
        <v>103</v>
      </c>
      <c r="B1" s="16" t="s">
        <v>102</v>
      </c>
      <c r="C1" s="16" t="s">
        <v>101</v>
      </c>
      <c r="D1" s="16" t="s">
        <v>100</v>
      </c>
      <c r="E1" s="16" t="s">
        <v>99</v>
      </c>
      <c r="F1" s="16" t="s">
        <v>106</v>
      </c>
      <c r="G1" s="16" t="s">
        <v>98</v>
      </c>
      <c r="H1" s="16" t="s">
        <v>97</v>
      </c>
      <c r="I1" s="16" t="s">
        <v>96</v>
      </c>
      <c r="J1" s="16" t="s">
        <v>95</v>
      </c>
      <c r="K1" s="16" t="s">
        <v>105</v>
      </c>
      <c r="M1" s="16" t="s">
        <v>104</v>
      </c>
    </row>
    <row r="2" spans="1:13" x14ac:dyDescent="0.35">
      <c r="A2" s="1" t="s">
        <v>94</v>
      </c>
      <c r="B2" s="1">
        <v>1</v>
      </c>
      <c r="C2" s="1">
        <v>5</v>
      </c>
      <c r="D2" s="1">
        <f>C2*40*B2</f>
        <v>200</v>
      </c>
      <c r="E2" s="1">
        <v>46.35</v>
      </c>
      <c r="F2" s="1">
        <f>D2*E2</f>
        <v>9270</v>
      </c>
      <c r="G2" s="1">
        <v>2033.27</v>
      </c>
      <c r="H2" s="1">
        <f>ROUND(G2/$M$2,2)</f>
        <v>24.11</v>
      </c>
      <c r="I2" s="1">
        <f>H2*D2</f>
        <v>4822</v>
      </c>
      <c r="J2" s="1"/>
      <c r="K2" s="1"/>
      <c r="M2" s="1">
        <v>84.34</v>
      </c>
    </row>
    <row r="3" spans="1:13" x14ac:dyDescent="0.35">
      <c r="A3" s="1" t="s">
        <v>93</v>
      </c>
      <c r="B3" s="1">
        <v>3</v>
      </c>
      <c r="C3" s="1">
        <v>4</v>
      </c>
      <c r="D3" s="1">
        <f>C3*40*B3</f>
        <v>480</v>
      </c>
      <c r="E3" s="1">
        <v>37.08</v>
      </c>
      <c r="F3" s="1">
        <f>D3*E3</f>
        <v>17798.399999999998</v>
      </c>
      <c r="G3" s="1">
        <v>1562.87</v>
      </c>
      <c r="H3" s="1">
        <f>ROUND(G3/$M$2,2)</f>
        <v>18.53</v>
      </c>
      <c r="I3" s="1">
        <f>H3*D3</f>
        <v>8894.4000000000015</v>
      </c>
      <c r="J3" s="1"/>
      <c r="K3" s="1"/>
    </row>
    <row r="4" spans="1:13" x14ac:dyDescent="0.35">
      <c r="A4" s="1" t="s">
        <v>92</v>
      </c>
      <c r="B4" s="1">
        <v>1</v>
      </c>
      <c r="C4" s="1">
        <v>3</v>
      </c>
      <c r="D4" s="1">
        <f>C4*40*B4</f>
        <v>120</v>
      </c>
      <c r="E4" s="1">
        <v>33.549999999999997</v>
      </c>
      <c r="F4" s="1">
        <f>D4*E4</f>
        <v>4025.9999999999995</v>
      </c>
      <c r="G4" s="1">
        <v>1562.87</v>
      </c>
      <c r="H4" s="1">
        <f>ROUND(G4/$M$2,2)</f>
        <v>18.53</v>
      </c>
      <c r="I4" s="1">
        <f>H4*D4</f>
        <v>2223.6000000000004</v>
      </c>
      <c r="J4" s="1"/>
      <c r="K4" s="1"/>
    </row>
    <row r="5" spans="1:13" x14ac:dyDescent="0.35">
      <c r="A5" s="21" t="s">
        <v>91</v>
      </c>
      <c r="B5" s="21"/>
      <c r="C5" s="21"/>
      <c r="D5" s="15">
        <f>SUM(D2:D4)</f>
        <v>800</v>
      </c>
      <c r="E5" s="1"/>
      <c r="F5" s="15">
        <f>ROUND(SUM(F2:F4),0)</f>
        <v>31094</v>
      </c>
      <c r="G5" s="1"/>
      <c r="H5" s="1"/>
      <c r="I5" s="15">
        <f>ROUND(SUM(I1:I4),0)</f>
        <v>15940</v>
      </c>
      <c r="J5" s="14">
        <f>(1-(I5/F5))</f>
        <v>0.48736090564095969</v>
      </c>
      <c r="K5" s="14">
        <f>(1-(I5/25000))</f>
        <v>0.36240000000000006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Estimates</vt:lpstr>
      <vt:lpstr>Timelines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Merwin Dmello</dc:creator>
  <cp:lastModifiedBy>Merwin Dmello</cp:lastModifiedBy>
  <dcterms:created xsi:type="dcterms:W3CDTF">2024-11-06T09:14:56Z</dcterms:created>
  <dcterms:modified xsi:type="dcterms:W3CDTF">2024-12-06T16:59:16Z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b69475-382c-4c7a-b21d-8ca64eeef1bd_Enabled">
    <vt:lpwstr>true</vt:lpwstr>
  </property>
  <property fmtid="{D5CDD505-2E9C-101B-9397-08002B2CF9AE}" pid="3" name="MSIP_Label_ecb69475-382c-4c7a-b21d-8ca64eeef1bd_SetDate">
    <vt:lpwstr>2024-11-06T09:15:06Z</vt:lpwstr>
  </property>
  <property fmtid="{D5CDD505-2E9C-101B-9397-08002B2CF9AE}" pid="4" name="MSIP_Label_ecb69475-382c-4c7a-b21d-8ca64eeef1bd_Method">
    <vt:lpwstr>Standard</vt:lpwstr>
  </property>
  <property fmtid="{D5CDD505-2E9C-101B-9397-08002B2CF9AE}" pid="5" name="MSIP_Label_ecb69475-382c-4c7a-b21d-8ca64eeef1bd_Name">
    <vt:lpwstr>Eviden For Internal Use - All Employees</vt:lpwstr>
  </property>
  <property fmtid="{D5CDD505-2E9C-101B-9397-08002B2CF9AE}" pid="6" name="MSIP_Label_ecb69475-382c-4c7a-b21d-8ca64eeef1bd_SiteId">
    <vt:lpwstr>7d1c7785-2d8a-437d-b842-1ed5d8fbe00a</vt:lpwstr>
  </property>
  <property fmtid="{D5CDD505-2E9C-101B-9397-08002B2CF9AE}" pid="7" name="MSIP_Label_ecb69475-382c-4c7a-b21d-8ca64eeef1bd_ActionId">
    <vt:lpwstr>b09e5949-0534-43a2-86c8-83d0a29f2560</vt:lpwstr>
  </property>
  <property fmtid="{D5CDD505-2E9C-101B-9397-08002B2CF9AE}" pid="8" name="MSIP_Label_ecb69475-382c-4c7a-b21d-8ca64eeef1bd_ContentBits">
    <vt:lpwstr>0</vt:lpwstr>
  </property>
</Properties>
</file>